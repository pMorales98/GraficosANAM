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amgobmx-my.sharepoint.com/personal/pablo_morales_anam_gob_mx/Documents/Escritorio/Git/anam/solicitudes/data/"/>
    </mc:Choice>
  </mc:AlternateContent>
  <xr:revisionPtr revIDLastSave="80" documentId="8_{E3260FFC-8CF5-48F2-86EA-C894248EBFC7}" xr6:coauthVersionLast="47" xr6:coauthVersionMax="47" xr10:uidLastSave="{98F39617-EE64-481B-91FE-1DF1A29BCABE}"/>
  <bookViews>
    <workbookView xWindow="-120" yWindow="-120" windowWidth="29040" windowHeight="15720" activeTab="2" xr2:uid="{01E684D3-9BA8-45D5-A45A-64CBCF979BEF}"/>
  </bookViews>
  <sheets>
    <sheet name="recaudacion-lunes" sheetId="1" r:id="rId1"/>
    <sheet name="estimulos_barras" sheetId="3" r:id="rId2"/>
    <sheet name="estimulos_viernes_lunes" sheetId="5" r:id="rId3"/>
    <sheet name="pedimentos vierne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5" i="2" l="1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54" i="2"/>
</calcChain>
</file>

<file path=xl/sharedStrings.xml><?xml version="1.0" encoding="utf-8"?>
<sst xmlns="http://schemas.openxmlformats.org/spreadsheetml/2006/main" count="64" uniqueCount="37">
  <si>
    <t>Etiquetas de fila</t>
  </si>
  <si>
    <t>IEPS</t>
  </si>
  <si>
    <t>IGI</t>
  </si>
  <si>
    <t>IVA</t>
  </si>
  <si>
    <t>fecha</t>
  </si>
  <si>
    <t>pedimentos</t>
  </si>
  <si>
    <t>Promedio de diesel_pct</t>
  </si>
  <si>
    <t>Promedio de magna_pct</t>
  </si>
  <si>
    <t>27/12/2025 - 02/01/2026</t>
  </si>
  <si>
    <t>03/01/2026 - 09/01/2026</t>
  </si>
  <si>
    <t>10/01/2026 - 16/01/2026</t>
  </si>
  <si>
    <t>17/01/2026 - 23/01/2026</t>
  </si>
  <si>
    <t>24/01/2026 - 30/01/2026</t>
  </si>
  <si>
    <t>31/01/2026 - 06/02/2026</t>
  </si>
  <si>
    <t>07/02/2026 - 13/02/2026</t>
  </si>
  <si>
    <t>14/02/2026 - 20/02/2026</t>
  </si>
  <si>
    <t>21/02/2026 - 27/02/2026</t>
  </si>
  <si>
    <t>28/02/2026 - 06/03/2026</t>
  </si>
  <si>
    <t>07/03/2026 - 13/03/2026</t>
  </si>
  <si>
    <t>14/03/2026 - 20/03/2026</t>
  </si>
  <si>
    <t>21/03/2026 - 27/03/2026</t>
  </si>
  <si>
    <t>28/03/2026 - 03/04/2026</t>
  </si>
  <si>
    <t>04/04/2026 - 10/04/2026</t>
  </si>
  <si>
    <t>11/04/2026 - 17/04/2026</t>
  </si>
  <si>
    <t>18/04/2026 - 24/04/2026</t>
  </si>
  <si>
    <t>25/04/2026 - 01/05/2026</t>
  </si>
  <si>
    <t>02/05/2026 - 08/05/2026</t>
  </si>
  <si>
    <t>09/05/2026 - 15/05/2026</t>
  </si>
  <si>
    <t>16/05/2026 - 22/05/2026</t>
  </si>
  <si>
    <t>23/05/2026 - 29/05/2026</t>
  </si>
  <si>
    <t>30/05/2026 - 02/06/2026</t>
  </si>
  <si>
    <t>Promedio de Recaudacion MPD_viernes</t>
  </si>
  <si>
    <t>lunes</t>
  </si>
  <si>
    <t>recaudacion_MDP_lunes</t>
  </si>
  <si>
    <t>etiquetas_de_fila</t>
  </si>
  <si>
    <t>valor mercancias importacion</t>
  </si>
  <si>
    <t>valor_mercancia_MDP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</si>
</sst>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F800]dddd\,\ mmmm\ dd\,\ yyyy"/>
    <numFmt numFmtId="165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F4E7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164" fontId="3" fillId="3" borderId="2" xfId="0" applyNumberFormat="1" applyFont="1" applyFill="1" applyBorder="1"/>
    <xf numFmtId="165" fontId="3" fillId="3" borderId="3" xfId="1" applyNumberFormat="1" applyFont="1" applyFill="1" applyBorder="1"/>
    <xf numFmtId="14" fontId="0" fillId="2" borderId="2" xfId="0" applyNumberFormat="1" applyFill="1" applyBorder="1"/>
    <xf numFmtId="165" fontId="0" fillId="2" borderId="3" xfId="1" applyNumberFormat="1" applyFont="1" applyFill="1" applyBorder="1"/>
    <xf numFmtId="14" fontId="0" fillId="0" borderId="2" xfId="0" applyNumberFormat="1" applyBorder="1"/>
    <xf numFmtId="165" fontId="0" fillId="0" borderId="3" xfId="1" applyNumberFormat="1" applyFont="1" applyBorder="1"/>
    <xf numFmtId="0" fontId="2" fillId="2" borderId="1" xfId="0" applyFont="1" applyFill="1" applyBorder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  <xf numFmtId="0" fontId="2" fillId="2" borderId="0" xfId="0" applyFont="1" applyFill="1"/>
    <xf numFmtId="0" fontId="4" fillId="2" borderId="1" xfId="0" applyFont="1" applyFill="1" applyBorder="1"/>
    <xf numFmtId="165" fontId="0" fillId="0" borderId="0" xfId="1" applyNumberFormat="1" applyFont="1"/>
    <xf numFmtId="43" fontId="0" fillId="0" borderId="0" xfId="0" applyNumberFormat="1"/>
    <xf numFmtId="2" fontId="0" fillId="0" borderId="0" xfId="0" applyNumberFormat="1"/>
  </cellXfs>
  <cellStyles count="3">
    <cellStyle name="Millares" xfId="1" builtinId="3"/>
    <cellStyle name="Millares 2" xfId="2" xr:uid="{D7CFE92F-8B84-40B5-A431-3DBB0F031A9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B2BD-04EC-46C4-81A5-13DE83F4775A}">
  <dimension ref="A1:D23"/>
  <sheetViews>
    <sheetView workbookViewId="0">
      <selection activeCell="D24" sqref="D24"/>
    </sheetView>
  </sheetViews>
  <sheetFormatPr baseColWidth="10" defaultRowHeight="15" x14ac:dyDescent="0.25"/>
  <sheetData>
    <row r="1" spans="1:4" x14ac:dyDescent="0.25">
      <c r="A1" s="7" t="s">
        <v>0</v>
      </c>
      <c r="B1" s="7" t="s">
        <v>1</v>
      </c>
      <c r="C1" s="7" t="s">
        <v>2</v>
      </c>
      <c r="D1" s="7" t="s">
        <v>3</v>
      </c>
    </row>
    <row r="2" spans="1:4" x14ac:dyDescent="0.25">
      <c r="A2" s="8">
        <v>46027</v>
      </c>
      <c r="B2">
        <v>797.13000000000011</v>
      </c>
      <c r="C2">
        <v>396.42</v>
      </c>
      <c r="D2">
        <v>2528.7700000000004</v>
      </c>
    </row>
    <row r="3" spans="1:4" x14ac:dyDescent="0.25">
      <c r="A3" s="8">
        <v>46034</v>
      </c>
      <c r="B3">
        <v>959.63999999999976</v>
      </c>
      <c r="C3">
        <v>723.67999999999984</v>
      </c>
      <c r="D3">
        <v>3171.6800000000003</v>
      </c>
    </row>
    <row r="4" spans="1:4" x14ac:dyDescent="0.25">
      <c r="A4" s="8">
        <v>46041</v>
      </c>
      <c r="B4">
        <v>537.24999999999977</v>
      </c>
      <c r="C4">
        <v>609.98000000000013</v>
      </c>
      <c r="D4">
        <v>2606.8000000000002</v>
      </c>
    </row>
    <row r="5" spans="1:4" x14ac:dyDescent="0.25">
      <c r="A5" s="8">
        <v>46048</v>
      </c>
      <c r="B5">
        <v>245.98999999999998</v>
      </c>
      <c r="C5">
        <v>611.42999999999995</v>
      </c>
      <c r="D5">
        <v>2991.9</v>
      </c>
    </row>
    <row r="6" spans="1:4" x14ac:dyDescent="0.25">
      <c r="A6" s="8">
        <v>46055</v>
      </c>
      <c r="B6">
        <v>3.8499999999999996</v>
      </c>
      <c r="C6">
        <v>32.57</v>
      </c>
      <c r="D6">
        <v>248.74000000000004</v>
      </c>
    </row>
    <row r="7" spans="1:4" x14ac:dyDescent="0.25">
      <c r="A7" s="8">
        <v>46062</v>
      </c>
      <c r="B7">
        <v>400.01000000000005</v>
      </c>
      <c r="C7">
        <v>686.19</v>
      </c>
      <c r="D7">
        <v>4503.1900000000014</v>
      </c>
    </row>
    <row r="8" spans="1:4" x14ac:dyDescent="0.25">
      <c r="A8" s="8">
        <v>46069</v>
      </c>
      <c r="B8">
        <v>323.78000000000003</v>
      </c>
      <c r="C8">
        <v>716.36999999999989</v>
      </c>
      <c r="D8">
        <v>2692.93</v>
      </c>
    </row>
    <row r="9" spans="1:4" x14ac:dyDescent="0.25">
      <c r="A9" s="8">
        <v>46076</v>
      </c>
      <c r="B9">
        <v>285.62999999999994</v>
      </c>
      <c r="C9">
        <v>442.31</v>
      </c>
      <c r="D9">
        <v>2054.89</v>
      </c>
    </row>
    <row r="10" spans="1:4" x14ac:dyDescent="0.25">
      <c r="A10" s="8">
        <v>46083</v>
      </c>
      <c r="B10">
        <v>296.53000000000003</v>
      </c>
      <c r="C10">
        <v>732.7</v>
      </c>
      <c r="D10">
        <v>2772.46</v>
      </c>
    </row>
    <row r="11" spans="1:4" x14ac:dyDescent="0.25">
      <c r="A11" s="8">
        <v>46090</v>
      </c>
      <c r="B11">
        <v>294.55</v>
      </c>
      <c r="C11">
        <v>617.9699999999998</v>
      </c>
      <c r="D11">
        <v>2781.9900000000011</v>
      </c>
    </row>
    <row r="12" spans="1:4" x14ac:dyDescent="0.25">
      <c r="A12" s="8">
        <v>46097</v>
      </c>
      <c r="B12">
        <v>121.76</v>
      </c>
      <c r="C12">
        <v>22.650000000000006</v>
      </c>
      <c r="D12">
        <v>284.05000000000007</v>
      </c>
    </row>
    <row r="13" spans="1:4" x14ac:dyDescent="0.25">
      <c r="A13" s="8">
        <v>46104</v>
      </c>
      <c r="B13">
        <v>374.54000000000008</v>
      </c>
      <c r="C13">
        <v>691.12</v>
      </c>
      <c r="D13">
        <v>3172.1400000000008</v>
      </c>
    </row>
    <row r="14" spans="1:4" x14ac:dyDescent="0.25">
      <c r="A14" s="8">
        <v>46111</v>
      </c>
      <c r="B14">
        <v>516.19999999999993</v>
      </c>
      <c r="C14">
        <v>740.11999999999989</v>
      </c>
      <c r="D14">
        <v>3661.0299999999997</v>
      </c>
    </row>
    <row r="15" spans="1:4" x14ac:dyDescent="0.25">
      <c r="A15" s="8">
        <v>46118</v>
      </c>
      <c r="B15">
        <v>1051.6599999999999</v>
      </c>
      <c r="C15">
        <v>525.45000000000005</v>
      </c>
      <c r="D15">
        <v>4124.54</v>
      </c>
    </row>
    <row r="16" spans="1:4" x14ac:dyDescent="0.25">
      <c r="A16" s="8">
        <v>46125</v>
      </c>
      <c r="B16">
        <v>458.30000000000007</v>
      </c>
      <c r="C16">
        <v>743.9899999999999</v>
      </c>
      <c r="D16">
        <v>3446.4600000000005</v>
      </c>
    </row>
    <row r="17" spans="1:4" x14ac:dyDescent="0.25">
      <c r="A17" s="8">
        <v>46132</v>
      </c>
      <c r="B17">
        <v>358.09999999999997</v>
      </c>
      <c r="C17">
        <v>605.82999999999993</v>
      </c>
      <c r="D17">
        <v>2840.35</v>
      </c>
    </row>
    <row r="18" spans="1:4" x14ac:dyDescent="0.25">
      <c r="A18" s="8">
        <v>46139</v>
      </c>
      <c r="B18">
        <v>402.46</v>
      </c>
      <c r="C18">
        <v>768.95</v>
      </c>
      <c r="D18">
        <v>3125.6299999999992</v>
      </c>
    </row>
    <row r="19" spans="1:4" x14ac:dyDescent="0.25">
      <c r="A19" s="8">
        <v>46146</v>
      </c>
      <c r="B19">
        <v>331.81</v>
      </c>
      <c r="C19">
        <v>701.40000000000009</v>
      </c>
      <c r="D19">
        <v>3101.2000000000003</v>
      </c>
    </row>
    <row r="20" spans="1:4" x14ac:dyDescent="0.25">
      <c r="A20" s="8">
        <v>46153</v>
      </c>
      <c r="B20">
        <v>93.149999999999991</v>
      </c>
      <c r="C20">
        <v>568.87</v>
      </c>
      <c r="D20">
        <v>3693.12</v>
      </c>
    </row>
    <row r="21" spans="1:4" x14ac:dyDescent="0.25">
      <c r="A21" s="8">
        <v>46160</v>
      </c>
      <c r="B21">
        <v>299.34999999999997</v>
      </c>
      <c r="C21">
        <v>638.77</v>
      </c>
      <c r="D21">
        <v>3298.06</v>
      </c>
    </row>
    <row r="22" spans="1:4" x14ac:dyDescent="0.25">
      <c r="A22" s="8">
        <v>46167</v>
      </c>
      <c r="B22">
        <v>265.82</v>
      </c>
      <c r="C22">
        <v>650.12</v>
      </c>
      <c r="D22">
        <v>2364.2600000000002</v>
      </c>
    </row>
    <row r="23" spans="1:4" x14ac:dyDescent="0.25">
      <c r="A23" s="8">
        <v>46174</v>
      </c>
      <c r="B23">
        <v>124.53</v>
      </c>
      <c r="C23">
        <v>269.09999999999997</v>
      </c>
      <c r="D23">
        <v>1423.92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5D6E6-1F3E-4199-BB92-1C6EC55825C0}">
  <dimension ref="A1:D24"/>
  <sheetViews>
    <sheetView workbookViewId="0">
      <selection sqref="A1:D24"/>
    </sheetView>
  </sheetViews>
  <sheetFormatPr baseColWidth="10" defaultRowHeight="15" x14ac:dyDescent="0.25"/>
  <cols>
    <col min="1" max="1" width="21.85546875" bestFit="1" customWidth="1"/>
    <col min="2" max="2" width="22.42578125" bestFit="1" customWidth="1"/>
    <col min="3" max="3" width="22.7109375" bestFit="1" customWidth="1"/>
    <col min="4" max="4" width="29.42578125" bestFit="1" customWidth="1"/>
  </cols>
  <sheetData>
    <row r="1" spans="1:4" x14ac:dyDescent="0.25">
      <c r="A1" s="7" t="s">
        <v>0</v>
      </c>
      <c r="B1" s="7" t="s">
        <v>6</v>
      </c>
      <c r="C1" s="7" t="s">
        <v>7</v>
      </c>
      <c r="D1" s="7" t="s">
        <v>31</v>
      </c>
    </row>
    <row r="2" spans="1:4" x14ac:dyDescent="0.25">
      <c r="A2" s="9" t="s">
        <v>8</v>
      </c>
      <c r="B2">
        <v>0</v>
      </c>
      <c r="C2">
        <v>0</v>
      </c>
      <c r="D2">
        <v>1531.1550000000002</v>
      </c>
    </row>
    <row r="3" spans="1:4" x14ac:dyDescent="0.25">
      <c r="A3" s="9" t="s">
        <v>9</v>
      </c>
      <c r="B3">
        <v>0</v>
      </c>
      <c r="C3">
        <v>0</v>
      </c>
      <c r="D3">
        <v>3996.594285714285</v>
      </c>
    </row>
    <row r="4" spans="1:4" x14ac:dyDescent="0.25">
      <c r="A4" s="9" t="s">
        <v>10</v>
      </c>
      <c r="B4">
        <v>0</v>
      </c>
      <c r="C4">
        <v>0</v>
      </c>
      <c r="D4">
        <v>3825.85</v>
      </c>
    </row>
    <row r="5" spans="1:4" x14ac:dyDescent="0.25">
      <c r="A5" s="9" t="s">
        <v>11</v>
      </c>
      <c r="B5">
        <v>0</v>
      </c>
      <c r="C5">
        <v>0</v>
      </c>
      <c r="D5">
        <v>3348.0414285714287</v>
      </c>
    </row>
    <row r="6" spans="1:4" x14ac:dyDescent="0.25">
      <c r="A6" s="9" t="s">
        <v>12</v>
      </c>
      <c r="B6">
        <v>0</v>
      </c>
      <c r="C6">
        <v>0</v>
      </c>
      <c r="D6">
        <v>3413.2228571428582</v>
      </c>
    </row>
    <row r="7" spans="1:4" x14ac:dyDescent="0.25">
      <c r="A7" s="9" t="s">
        <v>13</v>
      </c>
      <c r="B7">
        <v>0</v>
      </c>
      <c r="C7">
        <v>0</v>
      </c>
      <c r="D7">
        <v>3588.7757142857149</v>
      </c>
    </row>
    <row r="8" spans="1:4" x14ac:dyDescent="0.25">
      <c r="A8" s="9" t="s">
        <v>14</v>
      </c>
      <c r="B8">
        <v>0</v>
      </c>
      <c r="C8">
        <v>0</v>
      </c>
      <c r="D8">
        <v>3886.457142857143</v>
      </c>
    </row>
    <row r="9" spans="1:4" x14ac:dyDescent="0.25">
      <c r="A9" s="9" t="s">
        <v>15</v>
      </c>
      <c r="B9">
        <v>0</v>
      </c>
      <c r="C9">
        <v>0</v>
      </c>
      <c r="D9">
        <v>3637.7200000000003</v>
      </c>
    </row>
    <row r="10" spans="1:4" x14ac:dyDescent="0.25">
      <c r="A10" s="9" t="s">
        <v>16</v>
      </c>
      <c r="B10">
        <v>0</v>
      </c>
      <c r="C10">
        <v>0</v>
      </c>
      <c r="D10">
        <v>3405.957142857143</v>
      </c>
    </row>
    <row r="11" spans="1:4" x14ac:dyDescent="0.25">
      <c r="A11" s="9" t="s">
        <v>17</v>
      </c>
      <c r="B11">
        <v>0</v>
      </c>
      <c r="C11">
        <v>0</v>
      </c>
      <c r="D11">
        <v>4396.2057142857147</v>
      </c>
    </row>
    <row r="12" spans="1:4" x14ac:dyDescent="0.25">
      <c r="A12" s="9" t="s">
        <v>18</v>
      </c>
      <c r="B12">
        <v>0</v>
      </c>
      <c r="C12">
        <v>0</v>
      </c>
      <c r="D12">
        <v>3793.3842857142849</v>
      </c>
    </row>
    <row r="13" spans="1:4" x14ac:dyDescent="0.25">
      <c r="A13" s="9" t="s">
        <v>19</v>
      </c>
      <c r="B13">
        <v>35.21</v>
      </c>
      <c r="C13">
        <v>0</v>
      </c>
      <c r="D13">
        <v>3204.8228571428576</v>
      </c>
    </row>
    <row r="14" spans="1:4" x14ac:dyDescent="0.25">
      <c r="A14" s="9" t="s">
        <v>20</v>
      </c>
      <c r="B14">
        <v>61.800000000000004</v>
      </c>
      <c r="C14">
        <v>24.080000000000002</v>
      </c>
      <c r="D14">
        <v>3331.3428571428567</v>
      </c>
    </row>
    <row r="15" spans="1:4" x14ac:dyDescent="0.25">
      <c r="A15" s="9" t="s">
        <v>21</v>
      </c>
      <c r="B15">
        <v>70.279999999999987</v>
      </c>
      <c r="C15">
        <v>23.12</v>
      </c>
      <c r="D15">
        <v>2839.9685714285711</v>
      </c>
    </row>
    <row r="16" spans="1:4" x14ac:dyDescent="0.25">
      <c r="A16" s="9" t="s">
        <v>22</v>
      </c>
      <c r="B16">
        <v>81.2</v>
      </c>
      <c r="C16">
        <v>31.34</v>
      </c>
      <c r="D16">
        <v>4160.2085714285722</v>
      </c>
    </row>
    <row r="17" spans="1:4" x14ac:dyDescent="0.25">
      <c r="A17" s="9" t="s">
        <v>23</v>
      </c>
      <c r="B17">
        <v>80.350000000000009</v>
      </c>
      <c r="C17">
        <v>26.97</v>
      </c>
      <c r="D17">
        <v>3511.3299999999995</v>
      </c>
    </row>
    <row r="18" spans="1:4" x14ac:dyDescent="0.25">
      <c r="A18" s="9" t="s">
        <v>24</v>
      </c>
      <c r="B18">
        <v>43.170000000000009</v>
      </c>
      <c r="C18">
        <v>11.67</v>
      </c>
      <c r="D18">
        <v>3678.6257142857148</v>
      </c>
    </row>
    <row r="19" spans="1:4" x14ac:dyDescent="0.25">
      <c r="A19" s="9" t="s">
        <v>25</v>
      </c>
      <c r="B19">
        <v>33.22</v>
      </c>
      <c r="C19">
        <v>15.680000000000003</v>
      </c>
      <c r="D19">
        <v>3478.2399999999993</v>
      </c>
    </row>
    <row r="20" spans="1:4" x14ac:dyDescent="0.25">
      <c r="A20" s="9" t="s">
        <v>26</v>
      </c>
      <c r="B20">
        <v>60.76</v>
      </c>
      <c r="C20">
        <v>38.079999999999991</v>
      </c>
      <c r="D20">
        <v>4036.4514285714295</v>
      </c>
    </row>
    <row r="21" spans="1:4" x14ac:dyDescent="0.25">
      <c r="A21" s="9" t="s">
        <v>27</v>
      </c>
      <c r="B21">
        <v>63.220000000000013</v>
      </c>
      <c r="C21">
        <v>49.149999999999991</v>
      </c>
      <c r="D21">
        <v>3634.9542857142865</v>
      </c>
    </row>
    <row r="22" spans="1:4" x14ac:dyDescent="0.25">
      <c r="A22" s="9" t="s">
        <v>28</v>
      </c>
      <c r="B22">
        <v>62.920000000000009</v>
      </c>
      <c r="C22">
        <v>49.459999999999994</v>
      </c>
      <c r="D22">
        <v>3544.1171428571429</v>
      </c>
    </row>
    <row r="23" spans="1:4" x14ac:dyDescent="0.25">
      <c r="A23" s="9" t="s">
        <v>29</v>
      </c>
      <c r="B23">
        <v>64.31</v>
      </c>
      <c r="C23">
        <v>51.26</v>
      </c>
      <c r="D23">
        <v>3585.8985714285709</v>
      </c>
    </row>
    <row r="24" spans="1:4" x14ac:dyDescent="0.25">
      <c r="A24" s="9" t="s">
        <v>30</v>
      </c>
      <c r="B24">
        <v>46.21</v>
      </c>
      <c r="C24">
        <v>28.320000000000004</v>
      </c>
      <c r="D24">
        <v>987.73666666666679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DA497-839D-4CD2-BFC3-5B1368A06AF2}">
  <dimension ref="A1:F24"/>
  <sheetViews>
    <sheetView tabSelected="1" workbookViewId="0">
      <selection activeCell="H27" sqref="H27"/>
    </sheetView>
  </sheetViews>
  <sheetFormatPr baseColWidth="10" defaultRowHeight="15" x14ac:dyDescent="0.25"/>
  <cols>
    <col min="1" max="1" width="21.7109375" bestFit="1" customWidth="1"/>
    <col min="2" max="2" width="10.42578125" bestFit="1" customWidth="1"/>
    <col min="3" max="3" width="20.42578125" bestFit="1" customWidth="1"/>
    <col min="4" max="4" width="22.7109375" bestFit="1" customWidth="1"/>
    <col min="5" max="5" width="37.28515625" bestFit="1" customWidth="1"/>
    <col min="6" max="6" width="23.140625" bestFit="1" customWidth="1"/>
  </cols>
  <sheetData>
    <row r="1" spans="1:6" x14ac:dyDescent="0.25">
      <c r="A1" s="7" t="s">
        <v>34</v>
      </c>
      <c r="B1" s="7" t="s">
        <v>32</v>
      </c>
      <c r="C1" s="7" t="s">
        <v>6</v>
      </c>
      <c r="D1" s="7" t="s">
        <v>7</v>
      </c>
      <c r="E1" s="7" t="s">
        <v>31</v>
      </c>
      <c r="F1" s="11" t="s">
        <v>33</v>
      </c>
    </row>
    <row r="2" spans="1:6" x14ac:dyDescent="0.25">
      <c r="A2" s="9" t="s">
        <v>8</v>
      </c>
      <c r="B2" s="10">
        <v>46027</v>
      </c>
      <c r="C2">
        <v>0</v>
      </c>
      <c r="D2">
        <v>0</v>
      </c>
      <c r="E2">
        <v>1531.1550000000002</v>
      </c>
      <c r="F2">
        <v>3836.9399999999987</v>
      </c>
    </row>
    <row r="3" spans="1:6" x14ac:dyDescent="0.25">
      <c r="A3" s="9" t="s">
        <v>9</v>
      </c>
      <c r="B3" s="10">
        <v>46034</v>
      </c>
      <c r="C3">
        <v>0</v>
      </c>
      <c r="D3">
        <v>0</v>
      </c>
      <c r="E3">
        <v>3996.594285714285</v>
      </c>
      <c r="F3">
        <v>4983.2200000000012</v>
      </c>
    </row>
    <row r="4" spans="1:6" x14ac:dyDescent="0.25">
      <c r="A4" s="9" t="s">
        <v>10</v>
      </c>
      <c r="B4" s="10">
        <v>46041</v>
      </c>
      <c r="C4">
        <v>0</v>
      </c>
      <c r="D4">
        <v>0</v>
      </c>
      <c r="E4">
        <v>3825.85</v>
      </c>
      <c r="F4">
        <v>3884.9700000000012</v>
      </c>
    </row>
    <row r="5" spans="1:6" x14ac:dyDescent="0.25">
      <c r="A5" s="9" t="s">
        <v>11</v>
      </c>
      <c r="B5" s="10">
        <v>46048</v>
      </c>
      <c r="C5">
        <v>0</v>
      </c>
      <c r="D5">
        <v>0</v>
      </c>
      <c r="E5">
        <v>3348.0414285714287</v>
      </c>
      <c r="F5">
        <v>3996.57</v>
      </c>
    </row>
    <row r="6" spans="1:6" x14ac:dyDescent="0.25">
      <c r="A6" s="9" t="s">
        <v>12</v>
      </c>
      <c r="B6" s="10">
        <v>46055</v>
      </c>
      <c r="C6">
        <v>0</v>
      </c>
      <c r="D6">
        <v>0</v>
      </c>
      <c r="E6">
        <v>3413.2228571428582</v>
      </c>
      <c r="F6">
        <v>293.73999999999995</v>
      </c>
    </row>
    <row r="7" spans="1:6" x14ac:dyDescent="0.25">
      <c r="A7" s="9" t="s">
        <v>13</v>
      </c>
      <c r="B7" s="10">
        <v>46062</v>
      </c>
      <c r="C7">
        <v>0</v>
      </c>
      <c r="D7">
        <v>0</v>
      </c>
      <c r="E7">
        <v>3588.7757142857149</v>
      </c>
      <c r="F7">
        <v>5767.4300000000021</v>
      </c>
    </row>
    <row r="8" spans="1:6" x14ac:dyDescent="0.25">
      <c r="A8" s="9" t="s">
        <v>14</v>
      </c>
      <c r="B8" s="10">
        <v>46069</v>
      </c>
      <c r="C8">
        <v>0</v>
      </c>
      <c r="D8">
        <v>0</v>
      </c>
      <c r="E8">
        <v>3886.457142857143</v>
      </c>
      <c r="F8">
        <v>3941.7800000000007</v>
      </c>
    </row>
    <row r="9" spans="1:6" x14ac:dyDescent="0.25">
      <c r="A9" s="9" t="s">
        <v>15</v>
      </c>
      <c r="B9" s="10">
        <v>46076</v>
      </c>
      <c r="C9">
        <v>0</v>
      </c>
      <c r="D9">
        <v>0</v>
      </c>
      <c r="E9">
        <v>3637.7200000000003</v>
      </c>
      <c r="F9">
        <v>2873.86</v>
      </c>
    </row>
    <row r="10" spans="1:6" x14ac:dyDescent="0.25">
      <c r="A10" s="9" t="s">
        <v>16</v>
      </c>
      <c r="B10" s="10">
        <v>46083</v>
      </c>
      <c r="C10">
        <v>0</v>
      </c>
      <c r="D10">
        <v>0</v>
      </c>
      <c r="E10">
        <v>3405.957142857143</v>
      </c>
      <c r="F10">
        <v>3934.190000000001</v>
      </c>
    </row>
    <row r="11" spans="1:6" x14ac:dyDescent="0.25">
      <c r="A11" s="9" t="s">
        <v>17</v>
      </c>
      <c r="B11" s="10">
        <v>46090</v>
      </c>
      <c r="C11">
        <v>0</v>
      </c>
      <c r="D11">
        <v>0</v>
      </c>
      <c r="E11">
        <v>4396.2057142857147</v>
      </c>
      <c r="F11">
        <v>3825.7900000000009</v>
      </c>
    </row>
    <row r="12" spans="1:6" x14ac:dyDescent="0.25">
      <c r="A12" s="9" t="s">
        <v>18</v>
      </c>
      <c r="B12" s="10">
        <v>46097</v>
      </c>
      <c r="C12">
        <v>0</v>
      </c>
      <c r="D12">
        <v>0</v>
      </c>
      <c r="E12">
        <v>3793.3842857142849</v>
      </c>
      <c r="F12">
        <v>439.66000000000008</v>
      </c>
    </row>
    <row r="13" spans="1:6" x14ac:dyDescent="0.25">
      <c r="A13" s="9" t="s">
        <v>19</v>
      </c>
      <c r="B13" s="10">
        <v>46104</v>
      </c>
      <c r="C13">
        <v>35.21</v>
      </c>
      <c r="D13">
        <v>0</v>
      </c>
      <c r="E13">
        <v>3204.8228571428576</v>
      </c>
      <c r="F13">
        <v>4394.880000000001</v>
      </c>
    </row>
    <row r="14" spans="1:6" x14ac:dyDescent="0.25">
      <c r="A14" s="9" t="s">
        <v>20</v>
      </c>
      <c r="B14" s="10">
        <v>46111</v>
      </c>
      <c r="C14">
        <v>61.800000000000004</v>
      </c>
      <c r="D14">
        <v>24.080000000000002</v>
      </c>
      <c r="E14">
        <v>3331.3428571428567</v>
      </c>
      <c r="F14">
        <v>5164.9000000000005</v>
      </c>
    </row>
    <row r="15" spans="1:6" x14ac:dyDescent="0.25">
      <c r="A15" s="9" t="s">
        <v>21</v>
      </c>
      <c r="B15" s="10">
        <v>46118</v>
      </c>
      <c r="C15">
        <v>70.279999999999987</v>
      </c>
      <c r="D15">
        <v>23.12</v>
      </c>
      <c r="E15">
        <v>2839.9685714285711</v>
      </c>
      <c r="F15">
        <v>5863.0399999999972</v>
      </c>
    </row>
    <row r="16" spans="1:6" x14ac:dyDescent="0.25">
      <c r="A16" s="9" t="s">
        <v>22</v>
      </c>
      <c r="B16" s="10">
        <v>46125</v>
      </c>
      <c r="C16">
        <v>81.2</v>
      </c>
      <c r="D16">
        <v>31.34</v>
      </c>
      <c r="E16">
        <v>4160.2085714285722</v>
      </c>
      <c r="F16">
        <v>4806.04</v>
      </c>
    </row>
    <row r="17" spans="1:6" x14ac:dyDescent="0.25">
      <c r="A17" s="9" t="s">
        <v>23</v>
      </c>
      <c r="B17" s="10">
        <v>46132</v>
      </c>
      <c r="C17">
        <v>80.350000000000009</v>
      </c>
      <c r="D17">
        <v>26.97</v>
      </c>
      <c r="E17">
        <v>3511.3299999999995</v>
      </c>
      <c r="F17">
        <v>3928.5600000000009</v>
      </c>
    </row>
    <row r="18" spans="1:6" x14ac:dyDescent="0.25">
      <c r="A18" s="9" t="s">
        <v>24</v>
      </c>
      <c r="B18" s="10">
        <v>46139</v>
      </c>
      <c r="C18">
        <v>43.170000000000009</v>
      </c>
      <c r="D18">
        <v>11.67</v>
      </c>
      <c r="E18">
        <v>3678.6257142857148</v>
      </c>
      <c r="F18">
        <v>4428.6199999999981</v>
      </c>
    </row>
    <row r="19" spans="1:6" x14ac:dyDescent="0.25">
      <c r="A19" s="9" t="s">
        <v>25</v>
      </c>
      <c r="B19" s="10">
        <v>46146</v>
      </c>
      <c r="C19">
        <v>33.22</v>
      </c>
      <c r="D19">
        <v>15.680000000000003</v>
      </c>
      <c r="E19">
        <v>3478.2399999999993</v>
      </c>
      <c r="F19">
        <v>4273.8700000000008</v>
      </c>
    </row>
    <row r="20" spans="1:6" x14ac:dyDescent="0.25">
      <c r="A20" s="9" t="s">
        <v>26</v>
      </c>
      <c r="B20" s="10">
        <v>46153</v>
      </c>
      <c r="C20">
        <v>60.76</v>
      </c>
      <c r="D20">
        <v>38.079999999999991</v>
      </c>
      <c r="E20">
        <v>4036.4514285714295</v>
      </c>
      <c r="F20">
        <v>4519.4100000000026</v>
      </c>
    </row>
    <row r="21" spans="1:6" x14ac:dyDescent="0.25">
      <c r="A21" s="9" t="s">
        <v>27</v>
      </c>
      <c r="B21" s="10">
        <v>46160</v>
      </c>
      <c r="C21">
        <v>63.220000000000013</v>
      </c>
      <c r="D21">
        <v>49.149999999999991</v>
      </c>
      <c r="E21">
        <v>3634.9542857142865</v>
      </c>
      <c r="F21">
        <v>4399.7300000000005</v>
      </c>
    </row>
    <row r="22" spans="1:6" x14ac:dyDescent="0.25">
      <c r="A22" s="9" t="s">
        <v>28</v>
      </c>
      <c r="B22" s="10">
        <v>46167</v>
      </c>
      <c r="C22">
        <v>62.920000000000009</v>
      </c>
      <c r="D22">
        <v>49.459999999999994</v>
      </c>
      <c r="E22">
        <v>3544.1171428571429</v>
      </c>
      <c r="F22">
        <v>3402.9100000000012</v>
      </c>
    </row>
    <row r="23" spans="1:6" x14ac:dyDescent="0.25">
      <c r="A23" s="9" t="s">
        <v>29</v>
      </c>
      <c r="B23" s="10">
        <v>46174</v>
      </c>
      <c r="C23">
        <v>64.31</v>
      </c>
      <c r="D23">
        <v>51.26</v>
      </c>
      <c r="E23">
        <v>3585.8985714285709</v>
      </c>
      <c r="F23">
        <v>1895.8700000000003</v>
      </c>
    </row>
    <row r="24" spans="1:6" x14ac:dyDescent="0.25">
      <c r="A24" s="9" t="s">
        <v>30</v>
      </c>
      <c r="B24" s="10">
        <v>46181</v>
      </c>
      <c r="C24">
        <v>46.21</v>
      </c>
      <c r="D24">
        <v>28.320000000000004</v>
      </c>
      <c r="E24">
        <v>987.73666666666679</v>
      </c>
      <c r="F24" s="15">
        <v>3698.07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0D0EB-CEB6-4973-AC57-DF3A901CDAB7}">
  <dimension ref="A1:D75"/>
  <sheetViews>
    <sheetView workbookViewId="0">
      <selection activeCell="C16" sqref="C16"/>
    </sheetView>
  </sheetViews>
  <sheetFormatPr baseColWidth="10" defaultRowHeight="15" x14ac:dyDescent="0.25"/>
  <cols>
    <col min="1" max="1" width="10.140625" bestFit="1" customWidth="1"/>
    <col min="2" max="2" width="13.28515625" bestFit="1" customWidth="1"/>
    <col min="3" max="3" width="34" bestFit="1" customWidth="1"/>
    <col min="4" max="4" width="20.7109375" bestFit="1" customWidth="1"/>
  </cols>
  <sheetData>
    <row r="1" spans="1:4" ht="16.5" x14ac:dyDescent="0.3">
      <c r="A1" s="1" t="s">
        <v>4</v>
      </c>
      <c r="B1" s="2" t="s">
        <v>5</v>
      </c>
      <c r="C1" s="12" t="s">
        <v>35</v>
      </c>
      <c r="D1" t="s">
        <v>36</v>
      </c>
    </row>
    <row r="2" spans="1:4" x14ac:dyDescent="0.25">
      <c r="A2" s="3">
        <v>45660</v>
      </c>
      <c r="B2" s="4">
        <v>24353</v>
      </c>
    </row>
    <row r="3" spans="1:4" x14ac:dyDescent="0.25">
      <c r="A3" s="5">
        <v>45667</v>
      </c>
      <c r="B3" s="6">
        <v>31498</v>
      </c>
    </row>
    <row r="4" spans="1:4" x14ac:dyDescent="0.25">
      <c r="A4" s="3">
        <v>45674</v>
      </c>
      <c r="B4" s="4">
        <v>29808</v>
      </c>
    </row>
    <row r="5" spans="1:4" x14ac:dyDescent="0.25">
      <c r="A5" s="5">
        <v>45681</v>
      </c>
      <c r="B5" s="6">
        <v>31183</v>
      </c>
    </row>
    <row r="6" spans="1:4" x14ac:dyDescent="0.25">
      <c r="A6" s="3">
        <v>45688</v>
      </c>
      <c r="B6" s="4">
        <v>31687</v>
      </c>
    </row>
    <row r="7" spans="1:4" x14ac:dyDescent="0.25">
      <c r="A7" s="5">
        <v>45695</v>
      </c>
      <c r="B7" s="6">
        <v>36826</v>
      </c>
    </row>
    <row r="8" spans="1:4" x14ac:dyDescent="0.25">
      <c r="A8" s="3">
        <v>45702</v>
      </c>
      <c r="B8" s="4">
        <v>33299</v>
      </c>
    </row>
    <row r="9" spans="1:4" x14ac:dyDescent="0.25">
      <c r="A9" s="5">
        <v>45709</v>
      </c>
      <c r="B9" s="6">
        <v>32161</v>
      </c>
    </row>
    <row r="10" spans="1:4" x14ac:dyDescent="0.25">
      <c r="A10" s="3">
        <v>45716</v>
      </c>
      <c r="B10" s="4">
        <v>32419</v>
      </c>
    </row>
    <row r="11" spans="1:4" x14ac:dyDescent="0.25">
      <c r="A11" s="5">
        <v>45723</v>
      </c>
      <c r="B11" s="6">
        <v>33152</v>
      </c>
    </row>
    <row r="12" spans="1:4" x14ac:dyDescent="0.25">
      <c r="A12" s="3">
        <v>45730</v>
      </c>
      <c r="B12" s="4">
        <v>35808</v>
      </c>
    </row>
    <row r="13" spans="1:4" x14ac:dyDescent="0.25">
      <c r="A13" s="5">
        <v>45737</v>
      </c>
      <c r="B13" s="6">
        <v>33691</v>
      </c>
    </row>
    <row r="14" spans="1:4" x14ac:dyDescent="0.25">
      <c r="A14" s="3">
        <v>45744</v>
      </c>
      <c r="B14" s="4">
        <v>34036</v>
      </c>
    </row>
    <row r="15" spans="1:4" x14ac:dyDescent="0.25">
      <c r="A15" s="5">
        <v>45751</v>
      </c>
      <c r="B15" s="6">
        <v>32537</v>
      </c>
    </row>
    <row r="16" spans="1:4" x14ac:dyDescent="0.25">
      <c r="A16" s="3">
        <v>45758</v>
      </c>
      <c r="B16" s="4">
        <v>32839</v>
      </c>
    </row>
    <row r="17" spans="1:2" x14ac:dyDescent="0.25">
      <c r="A17" s="5">
        <v>45765</v>
      </c>
      <c r="B17" s="6">
        <v>2961</v>
      </c>
    </row>
    <row r="18" spans="1:2" x14ac:dyDescent="0.25">
      <c r="A18" s="3">
        <v>45772</v>
      </c>
      <c r="B18" s="4">
        <v>32436</v>
      </c>
    </row>
    <row r="19" spans="1:2" x14ac:dyDescent="0.25">
      <c r="A19" s="5">
        <v>45779</v>
      </c>
      <c r="B19" s="6">
        <v>33351</v>
      </c>
    </row>
    <row r="20" spans="1:2" x14ac:dyDescent="0.25">
      <c r="A20" s="3">
        <v>45786</v>
      </c>
      <c r="B20" s="4">
        <v>31523</v>
      </c>
    </row>
    <row r="21" spans="1:2" x14ac:dyDescent="0.25">
      <c r="A21" s="5">
        <v>45793</v>
      </c>
      <c r="B21" s="6">
        <v>32478</v>
      </c>
    </row>
    <row r="22" spans="1:2" x14ac:dyDescent="0.25">
      <c r="A22" s="3">
        <v>45800</v>
      </c>
      <c r="B22" s="4">
        <v>30171</v>
      </c>
    </row>
    <row r="23" spans="1:2" x14ac:dyDescent="0.25">
      <c r="A23" s="5">
        <v>45807</v>
      </c>
      <c r="B23" s="6">
        <v>31136</v>
      </c>
    </row>
    <row r="24" spans="1:2" x14ac:dyDescent="0.25">
      <c r="A24" s="3">
        <v>45814</v>
      </c>
      <c r="B24" s="4">
        <v>32464</v>
      </c>
    </row>
    <row r="25" spans="1:2" x14ac:dyDescent="0.25">
      <c r="A25" s="5">
        <v>45821</v>
      </c>
      <c r="B25" s="6">
        <v>34611</v>
      </c>
    </row>
    <row r="26" spans="1:2" x14ac:dyDescent="0.25">
      <c r="A26" s="3">
        <v>45828</v>
      </c>
      <c r="B26" s="4">
        <v>32611</v>
      </c>
    </row>
    <row r="27" spans="1:2" x14ac:dyDescent="0.25">
      <c r="A27" s="5">
        <v>45835</v>
      </c>
      <c r="B27" s="6">
        <v>33157</v>
      </c>
    </row>
    <row r="28" spans="1:2" x14ac:dyDescent="0.25">
      <c r="A28" s="3">
        <v>45842</v>
      </c>
      <c r="B28" s="4">
        <v>22370</v>
      </c>
    </row>
    <row r="29" spans="1:2" x14ac:dyDescent="0.25">
      <c r="A29" s="5">
        <v>45849</v>
      </c>
      <c r="B29" s="6">
        <v>35048</v>
      </c>
    </row>
    <row r="30" spans="1:2" x14ac:dyDescent="0.25">
      <c r="A30" s="3">
        <v>45856</v>
      </c>
      <c r="B30" s="4">
        <v>30581</v>
      </c>
    </row>
    <row r="31" spans="1:2" x14ac:dyDescent="0.25">
      <c r="A31" s="5">
        <v>45863</v>
      </c>
      <c r="B31" s="6">
        <v>30967</v>
      </c>
    </row>
    <row r="32" spans="1:2" x14ac:dyDescent="0.25">
      <c r="A32" s="3">
        <v>45870</v>
      </c>
      <c r="B32" s="4">
        <v>29976</v>
      </c>
    </row>
    <row r="33" spans="1:2" x14ac:dyDescent="0.25">
      <c r="A33" s="5">
        <v>45877</v>
      </c>
      <c r="B33" s="6">
        <v>31688</v>
      </c>
    </row>
    <row r="34" spans="1:2" x14ac:dyDescent="0.25">
      <c r="A34" s="3">
        <v>45884</v>
      </c>
      <c r="B34" s="4">
        <v>30407</v>
      </c>
    </row>
    <row r="35" spans="1:2" x14ac:dyDescent="0.25">
      <c r="A35" s="5">
        <v>45891</v>
      </c>
      <c r="B35" s="6">
        <v>31540</v>
      </c>
    </row>
    <row r="36" spans="1:2" x14ac:dyDescent="0.25">
      <c r="A36" s="3">
        <v>45898</v>
      </c>
      <c r="B36" s="4">
        <v>30220</v>
      </c>
    </row>
    <row r="37" spans="1:2" x14ac:dyDescent="0.25">
      <c r="A37" s="5">
        <v>45905</v>
      </c>
      <c r="B37" s="6">
        <v>33516</v>
      </c>
    </row>
    <row r="38" spans="1:2" x14ac:dyDescent="0.25">
      <c r="A38" s="3">
        <v>45912</v>
      </c>
      <c r="B38" s="4">
        <v>34946</v>
      </c>
    </row>
    <row r="39" spans="1:2" x14ac:dyDescent="0.25">
      <c r="A39" s="5">
        <v>45919</v>
      </c>
      <c r="B39" s="6">
        <v>34688</v>
      </c>
    </row>
    <row r="40" spans="1:2" x14ac:dyDescent="0.25">
      <c r="A40" s="3">
        <v>45926</v>
      </c>
      <c r="B40" s="4">
        <v>29305</v>
      </c>
    </row>
    <row r="41" spans="1:2" x14ac:dyDescent="0.25">
      <c r="A41" s="5">
        <v>45933</v>
      </c>
      <c r="B41" s="6">
        <v>31802</v>
      </c>
    </row>
    <row r="42" spans="1:2" x14ac:dyDescent="0.25">
      <c r="A42" s="3">
        <v>45940</v>
      </c>
      <c r="B42" s="4">
        <v>33588</v>
      </c>
    </row>
    <row r="43" spans="1:2" x14ac:dyDescent="0.25">
      <c r="A43" s="5">
        <v>45947</v>
      </c>
      <c r="B43" s="6">
        <v>32359</v>
      </c>
    </row>
    <row r="44" spans="1:2" x14ac:dyDescent="0.25">
      <c r="A44" s="3">
        <v>45954</v>
      </c>
      <c r="B44" s="4">
        <v>31454</v>
      </c>
    </row>
    <row r="45" spans="1:2" x14ac:dyDescent="0.25">
      <c r="A45" s="5">
        <v>45961</v>
      </c>
      <c r="B45" s="6">
        <v>28418</v>
      </c>
    </row>
    <row r="46" spans="1:2" x14ac:dyDescent="0.25">
      <c r="A46" s="3">
        <v>45968</v>
      </c>
      <c r="B46" s="4">
        <v>32523</v>
      </c>
    </row>
    <row r="47" spans="1:2" x14ac:dyDescent="0.25">
      <c r="A47" s="5">
        <v>45975</v>
      </c>
      <c r="B47" s="6">
        <v>35641</v>
      </c>
    </row>
    <row r="48" spans="1:2" x14ac:dyDescent="0.25">
      <c r="A48" s="3">
        <v>45982</v>
      </c>
      <c r="B48" s="4">
        <v>35857</v>
      </c>
    </row>
    <row r="49" spans="1:4" x14ac:dyDescent="0.25">
      <c r="A49" s="5">
        <v>45989</v>
      </c>
      <c r="B49" s="6">
        <v>28915</v>
      </c>
    </row>
    <row r="50" spans="1:4" x14ac:dyDescent="0.25">
      <c r="A50" s="3">
        <v>45996</v>
      </c>
      <c r="B50" s="4">
        <v>35616</v>
      </c>
    </row>
    <row r="51" spans="1:4" x14ac:dyDescent="0.25">
      <c r="A51" s="5">
        <v>46003</v>
      </c>
      <c r="B51" s="6">
        <v>30097</v>
      </c>
    </row>
    <row r="52" spans="1:4" x14ac:dyDescent="0.25">
      <c r="A52" s="3">
        <v>46010</v>
      </c>
      <c r="B52" s="4">
        <v>32252</v>
      </c>
    </row>
    <row r="53" spans="1:4" x14ac:dyDescent="0.25">
      <c r="A53" s="5">
        <v>46017</v>
      </c>
      <c r="B53" s="6">
        <v>24734</v>
      </c>
    </row>
    <row r="54" spans="1:4" x14ac:dyDescent="0.25">
      <c r="A54" s="3">
        <v>46024</v>
      </c>
      <c r="B54" s="4">
        <v>14743</v>
      </c>
      <c r="C54" s="13">
        <v>28725956651</v>
      </c>
      <c r="D54" s="14">
        <f>C54/1000000</f>
        <v>28725.956651</v>
      </c>
    </row>
    <row r="55" spans="1:4" x14ac:dyDescent="0.25">
      <c r="A55" s="5">
        <v>46031</v>
      </c>
      <c r="B55" s="6">
        <v>29831</v>
      </c>
      <c r="C55" s="13">
        <v>52452007547</v>
      </c>
      <c r="D55" s="14">
        <f t="shared" ref="D55:D75" si="0">C55/1000000</f>
        <v>52452.007547000001</v>
      </c>
    </row>
    <row r="56" spans="1:4" x14ac:dyDescent="0.25">
      <c r="A56" s="3">
        <v>46038</v>
      </c>
      <c r="B56" s="4">
        <v>30944</v>
      </c>
      <c r="C56" s="13">
        <v>81174072355</v>
      </c>
      <c r="D56" s="14">
        <f t="shared" si="0"/>
        <v>81174.072354999997</v>
      </c>
    </row>
    <row r="57" spans="1:4" x14ac:dyDescent="0.25">
      <c r="A57" s="5">
        <v>46045</v>
      </c>
      <c r="B57" s="6">
        <v>33041</v>
      </c>
      <c r="C57" s="13">
        <v>59143575048</v>
      </c>
      <c r="D57" s="14">
        <f t="shared" si="0"/>
        <v>59143.575047999999</v>
      </c>
    </row>
    <row r="58" spans="1:4" x14ac:dyDescent="0.25">
      <c r="A58" s="3">
        <v>46052</v>
      </c>
      <c r="B58" s="4">
        <v>29292</v>
      </c>
      <c r="C58" s="13">
        <v>67063926145</v>
      </c>
      <c r="D58" s="14">
        <f t="shared" si="0"/>
        <v>67063.926145000005</v>
      </c>
    </row>
    <row r="59" spans="1:4" x14ac:dyDescent="0.25">
      <c r="A59" s="5">
        <v>46059</v>
      </c>
      <c r="B59" s="6">
        <v>33803</v>
      </c>
      <c r="C59" s="13">
        <v>111907429129</v>
      </c>
      <c r="D59" s="14">
        <f t="shared" si="0"/>
        <v>111907.429129</v>
      </c>
    </row>
    <row r="60" spans="1:4" x14ac:dyDescent="0.25">
      <c r="A60" s="3">
        <v>46066</v>
      </c>
      <c r="B60" s="4">
        <v>34456</v>
      </c>
      <c r="C60" s="13">
        <v>162916579177</v>
      </c>
      <c r="D60" s="14">
        <f t="shared" si="0"/>
        <v>162916.57917700001</v>
      </c>
    </row>
    <row r="61" spans="1:4" x14ac:dyDescent="0.25">
      <c r="A61" s="5">
        <v>46073</v>
      </c>
      <c r="B61" s="6">
        <v>32106</v>
      </c>
      <c r="C61" s="13">
        <v>72577565953</v>
      </c>
      <c r="D61" s="14">
        <f t="shared" si="0"/>
        <v>72577.565952999998</v>
      </c>
    </row>
    <row r="62" spans="1:4" x14ac:dyDescent="0.25">
      <c r="A62" s="3">
        <v>46080</v>
      </c>
      <c r="B62" s="4">
        <v>29623</v>
      </c>
      <c r="C62" s="13">
        <v>88676004840</v>
      </c>
      <c r="D62" s="14">
        <f t="shared" si="0"/>
        <v>88676.004839999994</v>
      </c>
    </row>
    <row r="63" spans="1:4" x14ac:dyDescent="0.25">
      <c r="A63" s="5">
        <v>46087</v>
      </c>
      <c r="B63" s="6">
        <v>32454</v>
      </c>
      <c r="C63" s="13">
        <v>116977396506</v>
      </c>
      <c r="D63" s="14">
        <f t="shared" si="0"/>
        <v>116977.396506</v>
      </c>
    </row>
    <row r="64" spans="1:4" x14ac:dyDescent="0.25">
      <c r="A64" s="3">
        <v>46094</v>
      </c>
      <c r="B64" s="4">
        <v>36911</v>
      </c>
      <c r="C64" s="13">
        <v>149610586944</v>
      </c>
      <c r="D64" s="14">
        <f t="shared" si="0"/>
        <v>149610.58694400001</v>
      </c>
    </row>
    <row r="65" spans="1:4" x14ac:dyDescent="0.25">
      <c r="A65" s="5">
        <v>46101</v>
      </c>
      <c r="B65" s="6">
        <v>34725</v>
      </c>
      <c r="C65" s="13">
        <v>94780334258</v>
      </c>
      <c r="D65" s="14">
        <f t="shared" si="0"/>
        <v>94780.334258000003</v>
      </c>
    </row>
    <row r="66" spans="1:4" x14ac:dyDescent="0.25">
      <c r="A66" s="3">
        <v>46108</v>
      </c>
      <c r="B66" s="4">
        <v>32351</v>
      </c>
      <c r="C66" s="13">
        <v>67933849693</v>
      </c>
      <c r="D66" s="14">
        <f t="shared" si="0"/>
        <v>67933.849692999996</v>
      </c>
    </row>
    <row r="67" spans="1:4" x14ac:dyDescent="0.25">
      <c r="A67" s="5">
        <v>46115</v>
      </c>
      <c r="B67" s="6">
        <v>2747</v>
      </c>
      <c r="C67" s="13">
        <v>4704335536</v>
      </c>
      <c r="D67" s="14">
        <f t="shared" si="0"/>
        <v>4704.3355359999996</v>
      </c>
    </row>
    <row r="68" spans="1:4" x14ac:dyDescent="0.25">
      <c r="A68" s="3">
        <v>46122</v>
      </c>
      <c r="B68" s="4">
        <v>33927</v>
      </c>
      <c r="C68" s="13">
        <v>77881048475</v>
      </c>
      <c r="D68" s="14">
        <f t="shared" si="0"/>
        <v>77881.048475000003</v>
      </c>
    </row>
    <row r="69" spans="1:4" x14ac:dyDescent="0.25">
      <c r="A69" s="5">
        <v>46129</v>
      </c>
      <c r="B69" s="6">
        <v>33042</v>
      </c>
      <c r="C69" s="13">
        <v>95423138580</v>
      </c>
      <c r="D69" s="14">
        <f t="shared" si="0"/>
        <v>95423.138579999999</v>
      </c>
    </row>
    <row r="70" spans="1:4" x14ac:dyDescent="0.25">
      <c r="A70" s="3">
        <v>46136</v>
      </c>
      <c r="B70" s="4">
        <v>32466</v>
      </c>
      <c r="C70" s="13">
        <v>79904873435</v>
      </c>
      <c r="D70" s="14">
        <f t="shared" si="0"/>
        <v>79904.873435000001</v>
      </c>
    </row>
    <row r="71" spans="1:4" x14ac:dyDescent="0.25">
      <c r="A71" s="5">
        <v>46143</v>
      </c>
      <c r="B71" s="6">
        <v>3872</v>
      </c>
      <c r="C71" s="13">
        <v>7657111104</v>
      </c>
      <c r="D71" s="14">
        <f t="shared" si="0"/>
        <v>7657.1111039999996</v>
      </c>
    </row>
    <row r="72" spans="1:4" x14ac:dyDescent="0.25">
      <c r="A72" s="3">
        <v>46150</v>
      </c>
      <c r="B72" s="4">
        <v>34865</v>
      </c>
      <c r="C72" s="13">
        <v>139751092327</v>
      </c>
      <c r="D72" s="14">
        <f t="shared" si="0"/>
        <v>139751.09232699999</v>
      </c>
    </row>
    <row r="73" spans="1:4" x14ac:dyDescent="0.25">
      <c r="A73" s="5">
        <v>46157</v>
      </c>
      <c r="B73" s="6">
        <v>35345</v>
      </c>
      <c r="C73" s="13">
        <v>110662235442</v>
      </c>
      <c r="D73" s="14">
        <f t="shared" si="0"/>
        <v>110662.235442</v>
      </c>
    </row>
    <row r="74" spans="1:4" x14ac:dyDescent="0.25">
      <c r="A74" s="3">
        <v>46164</v>
      </c>
      <c r="B74" s="4">
        <v>33560</v>
      </c>
      <c r="C74" s="13">
        <v>78431516047</v>
      </c>
      <c r="D74" s="14">
        <f t="shared" si="0"/>
        <v>78431.516046999997</v>
      </c>
    </row>
    <row r="75" spans="1:4" x14ac:dyDescent="0.25">
      <c r="A75" s="5">
        <v>46171</v>
      </c>
      <c r="B75" s="6">
        <v>37932</v>
      </c>
      <c r="C75" s="13">
        <v>113648463756</v>
      </c>
      <c r="D75" s="14">
        <f t="shared" si="0"/>
        <v>113648.463756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recaudacion-lunes</vt:lpstr>
      <vt:lpstr>estimulos_barras</vt:lpstr>
      <vt:lpstr>estimulos_viernes_lunes</vt:lpstr>
      <vt:lpstr>pedimentos viernes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Iván Faustino Cruz</dc:creator>
  <cp:lastModifiedBy>Pablo Morales López</cp:lastModifiedBy>
  <dcterms:created xsi:type="dcterms:W3CDTF">2026-06-04T18:30:16Z</dcterms:created>
  <dcterms:modified xsi:type="dcterms:W3CDTF">2026-06-09T19:18:25Z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2026-06-04T18:31:47Z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2ce69147-2638-4f36-8769-4eb269cb1526</vt:lpwstr>
  </property>
  <property fmtid="{D5CDD505-2E9C-101B-9397-08002B2CF9AE}" pid="7" name="MSIP_Label_defa4170-0d19-0005-0004-bc88714345d2_ActionId">
    <vt:lpwstr>e6ffb44b-3ff1-42f6-baf7-9d9a7f8856f8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