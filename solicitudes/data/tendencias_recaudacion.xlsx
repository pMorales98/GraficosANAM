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amgobmx-my.sharepoint.com/personal/pablo_morales_anam_gob_mx/Documents/Escritorio/Git/anam/solicitudes/data/"/>
    </mc:Choice>
  </mc:AlternateContent>
  <xr:revisionPtr revIDLastSave="26" documentId="13_ncr:1_{9AD3A2C9-225D-42B1-B839-EFA557C924B3}" xr6:coauthVersionLast="47" xr6:coauthVersionMax="47" xr10:uidLastSave="{88534D43-5DD5-40D0-AF36-193F03AA0897}"/>
  <bookViews>
    <workbookView xWindow="-120" yWindow="-120" windowWidth="29040" windowHeight="15720" xr2:uid="{F17C5EFA-E41B-422F-BC8F-E75E1C2B47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3" i="1" l="1"/>
  <c r="E23" i="1"/>
  <c r="F2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</calcChain>
</file>

<file path=xl/sharedStrings.xml><?xml version="1.0" encoding="utf-8"?>
<sst xmlns="http://schemas.openxmlformats.org/spreadsheetml/2006/main" count="28" uniqueCount="28">
  <si>
    <t>Etiquetas de fila</t>
  </si>
  <si>
    <t>pedimentos importacion</t>
  </si>
  <si>
    <t>valor mercancias importacion</t>
  </si>
  <si>
    <t>lunes, 5 de enero de 2026</t>
  </si>
  <si>
    <t>lunes, 12 de enero de 2026</t>
  </si>
  <si>
    <t>lunes, 19 de enero de 2026</t>
  </si>
  <si>
    <t>lunes, 26 de enero de 2026</t>
  </si>
  <si>
    <t>lunes, 2 de febrero de 2026</t>
  </si>
  <si>
    <t>lunes, 9 de febrero de 2026</t>
  </si>
  <si>
    <t>lunes, 16 de febrero de 2026</t>
  </si>
  <si>
    <t>lunes, 23 de febrero de 2026</t>
  </si>
  <si>
    <t>lunes, 2 de marzo de 2026</t>
  </si>
  <si>
    <t>lunes, 9 de marzo de 2026</t>
  </si>
  <si>
    <t>lunes, 16 de marzo de 2026</t>
  </si>
  <si>
    <t>lunes, 23 de marzo de 2026</t>
  </si>
  <si>
    <t>lunes, 30 de marzo de 2026</t>
  </si>
  <si>
    <t>lunes, 6 de abril de 2026</t>
  </si>
  <si>
    <t>lunes, 13 de abril de 2026</t>
  </si>
  <si>
    <t>lunes, 20 de abril de 2026</t>
  </si>
  <si>
    <t>lunes, 27 de abril de 2026</t>
  </si>
  <si>
    <t>lunes, 4 de mayo de 2026</t>
  </si>
  <si>
    <t>lunes, 18 de mayo de 2026</t>
  </si>
  <si>
    <t>lunes, 25 de mayo de 2026</t>
  </si>
  <si>
    <t>lunes, 11 de mayo de 2026</t>
  </si>
  <si>
    <t>valor mercancía entre un millon (MDP)</t>
  </si>
  <si>
    <t>recaudacion_mdp</t>
  </si>
  <si>
    <t>lunes, 1 de junio de 2026</t>
  </si>
  <si>
    <t>pedimentos entre mil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</si>
</sst>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164" fontId="0" fillId="2" borderId="0" xfId="0" applyNumberFormat="1" applyFill="1"/>
    <xf numFmtId="43" fontId="2" fillId="2" borderId="0" xfId="0" applyNumberFormat="1" applyFont="1" applyFill="1"/>
    <xf numFmtId="2" fontId="0" fillId="2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14E7-1BA1-4CE6-BE3A-3FA3FF629967}">
  <dimension ref="A1:G24"/>
  <sheetViews>
    <sheetView tabSelected="1" workbookViewId="0">
      <selection activeCell="C28" sqref="C28"/>
    </sheetView>
  </sheetViews>
  <sheetFormatPr baseColWidth="10" defaultRowHeight="15" x14ac:dyDescent="0.25"/>
  <cols>
    <col min="1" max="1" width="23.5703125" bestFit="1" customWidth="1"/>
    <col min="2" max="2" width="20.5703125" style="1" bestFit="1" customWidth="1"/>
    <col min="3" max="3" width="24.85546875" bestFit="1" customWidth="1"/>
    <col min="4" max="4" width="19.42578125" style="1" customWidth="1"/>
    <col min="5" max="5" width="22.7109375" bestFit="1" customWidth="1"/>
    <col min="6" max="6" width="31.85546875" style="1" bestFit="1" customWidth="1"/>
    <col min="7" max="7" width="11.140625" bestFit="1" customWidth="1"/>
  </cols>
  <sheetData>
    <row r="1" spans="1:7" x14ac:dyDescent="0.25">
      <c r="A1" t="s">
        <v>0</v>
      </c>
      <c r="B1" s="1" t="s">
        <v>1</v>
      </c>
      <c r="C1" t="s">
        <v>2</v>
      </c>
      <c r="D1" s="1" t="s">
        <v>25</v>
      </c>
      <c r="E1" t="s">
        <v>27</v>
      </c>
      <c r="F1" s="1" t="s">
        <v>24</v>
      </c>
    </row>
    <row r="2" spans="1:7" ht="17.25" x14ac:dyDescent="0.4">
      <c r="A2" t="s">
        <v>3</v>
      </c>
      <c r="B2">
        <v>20207</v>
      </c>
      <c r="C2" s="4">
        <v>26607583461</v>
      </c>
      <c r="D2">
        <v>3836.9399999999987</v>
      </c>
      <c r="E2">
        <f>B2/1000</f>
        <v>20.207000000000001</v>
      </c>
      <c r="F2" s="6">
        <f>C2/1000000</f>
        <v>26607.583460999998</v>
      </c>
      <c r="G2" s="3">
        <v>46027</v>
      </c>
    </row>
    <row r="3" spans="1:7" x14ac:dyDescent="0.25">
      <c r="A3" t="s">
        <v>4</v>
      </c>
      <c r="B3">
        <v>27362</v>
      </c>
      <c r="C3" s="4">
        <v>39950609863</v>
      </c>
      <c r="D3">
        <v>4983.2200000000012</v>
      </c>
      <c r="E3">
        <f t="shared" ref="E3:E23" si="0">B3/1000</f>
        <v>27.361999999999998</v>
      </c>
      <c r="F3" s="1">
        <f t="shared" ref="F3:F21" si="1">C3/1000000</f>
        <v>39950.609862999998</v>
      </c>
      <c r="G3" s="3">
        <v>46034</v>
      </c>
    </row>
    <row r="4" spans="1:7" x14ac:dyDescent="0.25">
      <c r="A4" t="s">
        <v>5</v>
      </c>
      <c r="B4">
        <v>25759</v>
      </c>
      <c r="C4" s="4">
        <v>41567971235</v>
      </c>
      <c r="D4">
        <v>3884.9700000000012</v>
      </c>
      <c r="E4">
        <f t="shared" si="0"/>
        <v>25.759</v>
      </c>
      <c r="F4" s="1">
        <f t="shared" si="1"/>
        <v>41567.971234999997</v>
      </c>
      <c r="G4" s="3">
        <v>46041</v>
      </c>
    </row>
    <row r="5" spans="1:7" x14ac:dyDescent="0.25">
      <c r="A5" t="s">
        <v>6</v>
      </c>
      <c r="B5">
        <v>27853</v>
      </c>
      <c r="C5" s="4">
        <v>43723159452</v>
      </c>
      <c r="D5">
        <v>3996.57</v>
      </c>
      <c r="E5">
        <f t="shared" si="0"/>
        <v>27.853000000000002</v>
      </c>
      <c r="F5" s="1">
        <f t="shared" si="1"/>
        <v>43723.159452</v>
      </c>
      <c r="G5" s="3">
        <v>46048</v>
      </c>
    </row>
    <row r="6" spans="1:7" x14ac:dyDescent="0.25">
      <c r="A6" t="s">
        <v>7</v>
      </c>
      <c r="B6">
        <v>3849</v>
      </c>
      <c r="C6" s="4">
        <v>4725074345</v>
      </c>
      <c r="D6">
        <v>293.73999999999995</v>
      </c>
      <c r="E6">
        <f t="shared" si="0"/>
        <v>3.8490000000000002</v>
      </c>
      <c r="F6" s="1">
        <f t="shared" si="1"/>
        <v>4725.074345</v>
      </c>
      <c r="G6" s="3">
        <v>46055</v>
      </c>
    </row>
    <row r="7" spans="1:7" x14ac:dyDescent="0.25">
      <c r="A7" t="s">
        <v>8</v>
      </c>
      <c r="B7">
        <v>28093</v>
      </c>
      <c r="C7" s="4">
        <v>104297640936</v>
      </c>
      <c r="D7">
        <v>5767.4300000000021</v>
      </c>
      <c r="E7">
        <f t="shared" si="0"/>
        <v>28.093</v>
      </c>
      <c r="F7" s="1">
        <f t="shared" si="1"/>
        <v>104297.640936</v>
      </c>
      <c r="G7" s="3">
        <v>46062</v>
      </c>
    </row>
    <row r="8" spans="1:7" x14ac:dyDescent="0.25">
      <c r="A8" t="s">
        <v>9</v>
      </c>
      <c r="B8">
        <v>32525</v>
      </c>
      <c r="C8" s="4">
        <v>109537885816</v>
      </c>
      <c r="D8">
        <v>3941.7800000000007</v>
      </c>
      <c r="E8">
        <f t="shared" si="0"/>
        <v>32.524999999999999</v>
      </c>
      <c r="F8" s="1">
        <f t="shared" si="1"/>
        <v>109537.88581599999</v>
      </c>
      <c r="G8" s="3">
        <v>46069</v>
      </c>
    </row>
    <row r="9" spans="1:7" x14ac:dyDescent="0.25">
      <c r="A9" t="s">
        <v>10</v>
      </c>
      <c r="B9">
        <v>25821</v>
      </c>
      <c r="C9" s="4">
        <v>34088863987</v>
      </c>
      <c r="D9">
        <v>2873.86</v>
      </c>
      <c r="E9">
        <f t="shared" si="0"/>
        <v>25.821000000000002</v>
      </c>
      <c r="F9" s="1">
        <f t="shared" si="1"/>
        <v>34088.863986999997</v>
      </c>
      <c r="G9" s="3">
        <v>46076</v>
      </c>
    </row>
    <row r="10" spans="1:7" x14ac:dyDescent="0.25">
      <c r="A10" t="s">
        <v>11</v>
      </c>
      <c r="B10">
        <v>29906</v>
      </c>
      <c r="C10" s="4">
        <v>43500306173</v>
      </c>
      <c r="D10">
        <v>3934.190000000001</v>
      </c>
      <c r="E10">
        <f t="shared" si="0"/>
        <v>29.905999999999999</v>
      </c>
      <c r="F10" s="1">
        <f t="shared" si="1"/>
        <v>43500.306172999997</v>
      </c>
      <c r="G10" s="3">
        <v>46083</v>
      </c>
    </row>
    <row r="11" spans="1:7" x14ac:dyDescent="0.25">
      <c r="A11" t="s">
        <v>12</v>
      </c>
      <c r="B11">
        <v>30328</v>
      </c>
      <c r="C11" s="4">
        <v>42230147379</v>
      </c>
      <c r="D11">
        <v>3825.7900000000009</v>
      </c>
      <c r="E11">
        <f t="shared" si="0"/>
        <v>30.327999999999999</v>
      </c>
      <c r="F11" s="1">
        <f t="shared" si="1"/>
        <v>42230.147379000002</v>
      </c>
      <c r="G11" s="3">
        <v>46090</v>
      </c>
    </row>
    <row r="12" spans="1:7" x14ac:dyDescent="0.25">
      <c r="A12" t="s">
        <v>13</v>
      </c>
      <c r="B12">
        <v>4243</v>
      </c>
      <c r="C12" s="4">
        <v>2652986779</v>
      </c>
      <c r="D12">
        <v>439.66000000000008</v>
      </c>
      <c r="E12">
        <f t="shared" si="0"/>
        <v>4.2430000000000003</v>
      </c>
      <c r="F12" s="1">
        <f t="shared" si="1"/>
        <v>2652.9867789999998</v>
      </c>
      <c r="G12" s="3">
        <v>46097</v>
      </c>
    </row>
    <row r="13" spans="1:7" x14ac:dyDescent="0.25">
      <c r="A13" t="s">
        <v>14</v>
      </c>
      <c r="B13">
        <v>29501</v>
      </c>
      <c r="C13" s="4">
        <v>43450160737</v>
      </c>
      <c r="D13">
        <v>4394.880000000001</v>
      </c>
      <c r="E13">
        <f t="shared" si="0"/>
        <v>29.501000000000001</v>
      </c>
      <c r="F13" s="1">
        <f t="shared" si="1"/>
        <v>43450.160736999998</v>
      </c>
      <c r="G13" s="3">
        <v>46104</v>
      </c>
    </row>
    <row r="14" spans="1:7" x14ac:dyDescent="0.25">
      <c r="A14" t="s">
        <v>15</v>
      </c>
      <c r="B14">
        <v>30214</v>
      </c>
      <c r="C14" s="4">
        <v>62963204965</v>
      </c>
      <c r="D14">
        <v>5164.9000000000005</v>
      </c>
      <c r="E14">
        <f t="shared" si="0"/>
        <v>30.213999999999999</v>
      </c>
      <c r="F14" s="1">
        <f t="shared" si="1"/>
        <v>62963.204964999997</v>
      </c>
      <c r="G14" s="3">
        <v>46111</v>
      </c>
    </row>
    <row r="15" spans="1:7" x14ac:dyDescent="0.25">
      <c r="A15" t="s">
        <v>16</v>
      </c>
      <c r="B15">
        <v>28175</v>
      </c>
      <c r="C15" s="4">
        <v>74665960495</v>
      </c>
      <c r="D15">
        <v>5863.0399999999972</v>
      </c>
      <c r="E15">
        <f t="shared" si="0"/>
        <v>28.175000000000001</v>
      </c>
      <c r="F15" s="1">
        <f t="shared" si="1"/>
        <v>74665.960495000007</v>
      </c>
      <c r="G15" s="3">
        <v>46118</v>
      </c>
    </row>
    <row r="16" spans="1:7" x14ac:dyDescent="0.25">
      <c r="A16" t="s">
        <v>17</v>
      </c>
      <c r="B16">
        <v>30654</v>
      </c>
      <c r="C16" s="4">
        <v>55765946312</v>
      </c>
      <c r="D16">
        <v>4806.04</v>
      </c>
      <c r="E16">
        <f t="shared" si="0"/>
        <v>30.654</v>
      </c>
      <c r="F16" s="1">
        <f t="shared" si="1"/>
        <v>55765.946312</v>
      </c>
      <c r="G16" s="3">
        <v>46125</v>
      </c>
    </row>
    <row r="17" spans="1:7" x14ac:dyDescent="0.25">
      <c r="A17" t="s">
        <v>18</v>
      </c>
      <c r="B17">
        <v>29448</v>
      </c>
      <c r="C17" s="4">
        <v>55976348138</v>
      </c>
      <c r="D17">
        <v>3928.5600000000009</v>
      </c>
      <c r="E17">
        <f t="shared" si="0"/>
        <v>29.448</v>
      </c>
      <c r="F17" s="1">
        <f t="shared" si="1"/>
        <v>55976.348138000001</v>
      </c>
      <c r="G17" s="3">
        <v>46132</v>
      </c>
    </row>
    <row r="18" spans="1:7" x14ac:dyDescent="0.25">
      <c r="A18" t="s">
        <v>19</v>
      </c>
      <c r="B18">
        <v>29870</v>
      </c>
      <c r="C18" s="4">
        <v>42800745089</v>
      </c>
      <c r="D18">
        <v>4428.6199999999981</v>
      </c>
      <c r="E18">
        <f t="shared" si="0"/>
        <v>29.87</v>
      </c>
      <c r="F18" s="1">
        <f t="shared" si="1"/>
        <v>42800.745088999996</v>
      </c>
      <c r="G18" s="3">
        <v>46139</v>
      </c>
    </row>
    <row r="19" spans="1:7" x14ac:dyDescent="0.25">
      <c r="A19" t="s">
        <v>20</v>
      </c>
      <c r="B19">
        <v>30089</v>
      </c>
      <c r="C19" s="4">
        <v>45680836705</v>
      </c>
      <c r="D19">
        <v>4273.8700000000008</v>
      </c>
      <c r="E19">
        <f t="shared" si="0"/>
        <v>30.088999999999999</v>
      </c>
      <c r="F19" s="1">
        <f t="shared" si="1"/>
        <v>45680.836705000002</v>
      </c>
      <c r="G19" s="3">
        <v>46146</v>
      </c>
    </row>
    <row r="20" spans="1:7" x14ac:dyDescent="0.25">
      <c r="A20" t="s">
        <v>23</v>
      </c>
      <c r="B20">
        <v>29737</v>
      </c>
      <c r="C20" s="4">
        <v>48190489977</v>
      </c>
      <c r="D20">
        <v>4519.4100000000026</v>
      </c>
      <c r="E20">
        <f t="shared" si="0"/>
        <v>29.736999999999998</v>
      </c>
      <c r="F20" s="1">
        <f t="shared" si="1"/>
        <v>48190.489976999997</v>
      </c>
      <c r="G20" s="3">
        <v>46153</v>
      </c>
    </row>
    <row r="21" spans="1:7" x14ac:dyDescent="0.25">
      <c r="A21" t="s">
        <v>21</v>
      </c>
      <c r="B21">
        <v>32172</v>
      </c>
      <c r="C21" s="4">
        <v>76650837140</v>
      </c>
      <c r="D21">
        <v>4399.7300000000005</v>
      </c>
      <c r="E21">
        <f t="shared" si="0"/>
        <v>32.171999999999997</v>
      </c>
      <c r="F21" s="1">
        <f t="shared" si="1"/>
        <v>76650.837140000003</v>
      </c>
      <c r="G21" s="3">
        <v>46160</v>
      </c>
    </row>
    <row r="22" spans="1:7" x14ac:dyDescent="0.25">
      <c r="A22" t="s">
        <v>22</v>
      </c>
      <c r="B22">
        <v>25565</v>
      </c>
      <c r="C22" s="4">
        <v>47367467107</v>
      </c>
      <c r="D22">
        <v>3402.9100000000012</v>
      </c>
      <c r="E22">
        <f t="shared" si="0"/>
        <v>25.565000000000001</v>
      </c>
      <c r="F22" s="1">
        <f>C22/1000000</f>
        <v>47367.467106999997</v>
      </c>
      <c r="G22" s="3">
        <v>46167</v>
      </c>
    </row>
    <row r="23" spans="1:7" x14ac:dyDescent="0.25">
      <c r="A23" t="s">
        <v>26</v>
      </c>
      <c r="B23">
        <v>14290</v>
      </c>
      <c r="C23" s="4">
        <v>16343000000</v>
      </c>
      <c r="D23">
        <v>1895.8700000000003</v>
      </c>
      <c r="E23">
        <f t="shared" si="0"/>
        <v>14.29</v>
      </c>
      <c r="F23" s="5">
        <f>C23/1000000</f>
        <v>16343</v>
      </c>
      <c r="G23" s="3">
        <v>46174</v>
      </c>
    </row>
    <row r="24" spans="1:7" x14ac:dyDescent="0.25">
      <c r="A24" s="2"/>
      <c r="D24" s="7">
        <v>3698.0653299999999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2059aa38-f392-4105-be92-628035578272}" enabled="1" method="Standard" siteId="{1588262d-23fb-43b4-bd6e-bce49c8e618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MORALES Pablo</dc:creator>
  <cp:lastModifiedBy>Pablo Morales López</cp:lastModifiedBy>
  <dcterms:created xsi:type="dcterms:W3CDTF">2026-06-02T19:42:29Z</dcterms:created>
  <dcterms:modified xsi:type="dcterms:W3CDTF">2026-06-09T19:15:58Z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2026-06-04T01:02:10Z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2ce69147-2638-4f36-8769-4eb269cb1526</vt:lpwstr>
  </property>
  <property fmtid="{D5CDD505-2E9C-101B-9397-08002B2CF9AE}" pid="7" name="MSIP_Label_defa4170-0d19-0005-0004-bc88714345d2_ActionId">
    <vt:lpwstr>9a6edf92-984e-408e-80ad-c1a2ec2e867a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